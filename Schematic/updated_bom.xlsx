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LAOLUWA\Desktop\Function_Generator\Schematic\"/>
    </mc:Choice>
  </mc:AlternateContent>
  <bookViews>
    <workbookView xWindow="0" yWindow="0" windowWidth="20490" windowHeight="7875"/>
  </bookViews>
  <sheets>
    <sheet name="bom" sheetId="1" r:id="rId1"/>
  </sheets>
  <calcPr calcId="152511"/>
</workbook>
</file>

<file path=xl/calcChain.xml><?xml version="1.0" encoding="utf-8"?>
<calcChain xmlns="http://schemas.openxmlformats.org/spreadsheetml/2006/main">
  <c r="F18" i="1" l="1"/>
  <c r="F28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7" i="1"/>
  <c r="F3" i="1"/>
  <c r="F2" i="1"/>
  <c r="F34" i="1" l="1"/>
</calcChain>
</file>

<file path=xl/sharedStrings.xml><?xml version="1.0" encoding="utf-8"?>
<sst xmlns="http://schemas.openxmlformats.org/spreadsheetml/2006/main" count="107" uniqueCount="60">
  <si>
    <t>Qty</t>
  </si>
  <si>
    <t>LM358</t>
  </si>
  <si>
    <t>Link</t>
  </si>
  <si>
    <t>N/A</t>
  </si>
  <si>
    <t>330nF Capacitor</t>
  </si>
  <si>
    <t>100nF Capacitor</t>
  </si>
  <si>
    <t>100uF Capacitor</t>
  </si>
  <si>
    <t>TIP41 NPN Transistor</t>
  </si>
  <si>
    <t>TIP42 PNP Transistor</t>
  </si>
  <si>
    <t>1k Resistor</t>
  </si>
  <si>
    <t>10k Potentiometer</t>
  </si>
  <si>
    <t>22k Resistor</t>
  </si>
  <si>
    <t>10k Resistor</t>
  </si>
  <si>
    <t>2k Resistor</t>
  </si>
  <si>
    <t>Component</t>
  </si>
  <si>
    <t>ON/OFF Switch</t>
  </si>
  <si>
    <t>Tactile Switch</t>
  </si>
  <si>
    <t>0.33uF Capacitor</t>
  </si>
  <si>
    <t>0.1uF Capacitor</t>
  </si>
  <si>
    <t>Slide Switch</t>
  </si>
  <si>
    <t>TL071 Op-amp</t>
  </si>
  <si>
    <t>AD9833 Signal Generator</t>
  </si>
  <si>
    <t>STM32 Blue Pill Board</t>
  </si>
  <si>
    <t>L7805 5V Regulator</t>
  </si>
  <si>
    <t>LM358 Op-amp IC</t>
  </si>
  <si>
    <t>TL071 Op-amp IC</t>
  </si>
  <si>
    <t>AD9833 Signal Generator IC</t>
  </si>
  <si>
    <t>STM32 Blue Pill</t>
  </si>
  <si>
    <t>16x2 LCD Screen</t>
  </si>
  <si>
    <t>I2C Adapter for LCD</t>
  </si>
  <si>
    <t>1602 LCD Module</t>
  </si>
  <si>
    <t>I2C LCD Interface</t>
  </si>
  <si>
    <t>L7805 Regulator</t>
  </si>
  <si>
    <t>ST-LINK</t>
  </si>
  <si>
    <t>ST-LINK (In-circuit Programmer/Debugger)</t>
  </si>
  <si>
    <t>IC Socket (8 pin)</t>
  </si>
  <si>
    <t>8-pin IC socket</t>
  </si>
  <si>
    <t>Supplier</t>
  </si>
  <si>
    <t>Hub360 (Lagos)</t>
  </si>
  <si>
    <t>Female Header</t>
  </si>
  <si>
    <t>2.54mm Female Headers</t>
  </si>
  <si>
    <t>2.54mm Male Headers</t>
  </si>
  <si>
    <t>Male Header</t>
  </si>
  <si>
    <t>Male-male Wires</t>
  </si>
  <si>
    <t>Male-female Wires</t>
  </si>
  <si>
    <t>Female-female Wires</t>
  </si>
  <si>
    <t>Male-female Jumper Wires</t>
  </si>
  <si>
    <t>Male-male Jumper Wires</t>
  </si>
  <si>
    <t>Female-female Jumper Wires</t>
  </si>
  <si>
    <t>4x4 Adaptable Box (or Enclosure)</t>
  </si>
  <si>
    <t>1 set (40 pcs)</t>
  </si>
  <si>
    <t>Ibadan</t>
  </si>
  <si>
    <t>Unit Price (₦)</t>
  </si>
  <si>
    <t>Total Price (₦)</t>
  </si>
  <si>
    <t>Tactile Switch Caps</t>
  </si>
  <si>
    <t>Potentiometer Knob</t>
  </si>
  <si>
    <t>Potentiometer Knob Cap</t>
  </si>
  <si>
    <t>19V AC-DC Adapter</t>
  </si>
  <si>
    <t>Compudel</t>
  </si>
  <si>
    <t>Misc  (Soldering materials, extra components, transport)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</si>
</sst>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₦&quot;#,##0;[Red]\-&quot;₦&quot;#,##0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8" fillId="0" borderId="0" xfId="42" applyAlignment="1">
      <alignment horizontal="center"/>
    </xf>
    <xf numFmtId="6" fontId="0" fillId="0" borderId="0" xfId="0" applyNumberFormat="1" applyAlignment="1">
      <alignment horizontal="center"/>
    </xf>
    <xf numFmtId="6" fontId="0" fillId="0" borderId="0" xfId="0" applyNumberFormat="1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b360.com.ng/product/12x12x7-3-tact-switch/" TargetMode="External"/><Relationship Id="rId13" Type="http://schemas.openxmlformats.org/officeDocument/2006/relationships/hyperlink" Target="https://hub360.com.ng/product/st-link-v2-stm8-stm32-downloader/" TargetMode="External"/><Relationship Id="rId18" Type="http://schemas.openxmlformats.org/officeDocument/2006/relationships/hyperlink" Target="https://hub360.com.ng/product/female-header-2/" TargetMode="External"/><Relationship Id="rId26" Type="http://schemas.openxmlformats.org/officeDocument/2006/relationships/hyperlink" Target="https://hub360.com.ng/product/22k%cf%89-14w-resistor/" TargetMode="External"/><Relationship Id="rId3" Type="http://schemas.openxmlformats.org/officeDocument/2006/relationships/hyperlink" Target="https://hub360.com.ng/product/100uf-16v-electrolytic-capacitor/" TargetMode="External"/><Relationship Id="rId21" Type="http://schemas.openxmlformats.org/officeDocument/2006/relationships/hyperlink" Target="https://hub360.com.ng/product/male-female-jumper-wire-set/" TargetMode="External"/><Relationship Id="rId7" Type="http://schemas.openxmlformats.org/officeDocument/2006/relationships/hyperlink" Target="https://hub360.com.ng/product/switch/" TargetMode="External"/><Relationship Id="rId12" Type="http://schemas.openxmlformats.org/officeDocument/2006/relationships/hyperlink" Target="https://hub360.com.ng/product/stm32f103c8t6-arm-32-development-board/" TargetMode="External"/><Relationship Id="rId17" Type="http://schemas.openxmlformats.org/officeDocument/2006/relationships/hyperlink" Target="https://hub360.com.ng/product/ic-socket-8-pin/" TargetMode="External"/><Relationship Id="rId25" Type="http://schemas.openxmlformats.org/officeDocument/2006/relationships/hyperlink" Target="https://hub360.com.ng/product/2k%cf%89-14w-resistor/" TargetMode="External"/><Relationship Id="rId2" Type="http://schemas.openxmlformats.org/officeDocument/2006/relationships/hyperlink" Target="https://hub360.com.ng/product/104-capacitor/" TargetMode="External"/><Relationship Id="rId16" Type="http://schemas.openxmlformats.org/officeDocument/2006/relationships/hyperlink" Target="https://hub360.com.ng/product/lm358/" TargetMode="External"/><Relationship Id="rId20" Type="http://schemas.openxmlformats.org/officeDocument/2006/relationships/hyperlink" Target="https://hub360.com.ng/product/jumpers-wires/" TargetMode="External"/><Relationship Id="rId29" Type="http://schemas.openxmlformats.org/officeDocument/2006/relationships/hyperlink" Target="https://hub360.com.ng/product/blue-lcd-1602/" TargetMode="External"/><Relationship Id="rId1" Type="http://schemas.openxmlformats.org/officeDocument/2006/relationships/hyperlink" Target="https://hub360.com.ng/product/334-monolithic-capacitor/" TargetMode="External"/><Relationship Id="rId6" Type="http://schemas.openxmlformats.org/officeDocument/2006/relationships/hyperlink" Target="https://hub360.com.ng/product/1k%cf%89-14w-resistor/" TargetMode="External"/><Relationship Id="rId11" Type="http://schemas.openxmlformats.org/officeDocument/2006/relationships/hyperlink" Target="https://hub360.com.ng/product/mcu-9833-ad9833-ad9833brmz-sine-wave-square-wave-triangle-module/" TargetMode="External"/><Relationship Id="rId24" Type="http://schemas.openxmlformats.org/officeDocument/2006/relationships/hyperlink" Target="https://hub360.com.ng/product/potentiometer-knob-cap/" TargetMode="External"/><Relationship Id="rId5" Type="http://schemas.openxmlformats.org/officeDocument/2006/relationships/hyperlink" Target="https://hub360.com.ng/product/tip42-pnp-transistor/" TargetMode="External"/><Relationship Id="rId15" Type="http://schemas.openxmlformats.org/officeDocument/2006/relationships/hyperlink" Target="https://hub360.com.ng/product/l7805cv/" TargetMode="External"/><Relationship Id="rId23" Type="http://schemas.openxmlformats.org/officeDocument/2006/relationships/hyperlink" Target="https://hub360.com.ng/product/round-b3f-12127-3-tact-switch-cap/" TargetMode="External"/><Relationship Id="rId28" Type="http://schemas.openxmlformats.org/officeDocument/2006/relationships/hyperlink" Target="https://hub360.com.ng/product/10k%cf%89-14w-resistor/" TargetMode="External"/><Relationship Id="rId10" Type="http://schemas.openxmlformats.org/officeDocument/2006/relationships/hyperlink" Target="https://hub360.com.ng/product/tl071cp-op-amp/" TargetMode="External"/><Relationship Id="rId19" Type="http://schemas.openxmlformats.org/officeDocument/2006/relationships/hyperlink" Target="https://hub360.com.ng/product/male-header/" TargetMode="External"/><Relationship Id="rId4" Type="http://schemas.openxmlformats.org/officeDocument/2006/relationships/hyperlink" Target="https://hub360.com.ng/product/tip41-npn-transistor/" TargetMode="External"/><Relationship Id="rId9" Type="http://schemas.openxmlformats.org/officeDocument/2006/relationships/hyperlink" Target="https://hub360.com.ng/product/sk12d07vg5-slide-switch/" TargetMode="External"/><Relationship Id="rId14" Type="http://schemas.openxmlformats.org/officeDocument/2006/relationships/hyperlink" Target="https://hub360.com.ng/product/12c-lcd-interface/" TargetMode="External"/><Relationship Id="rId22" Type="http://schemas.openxmlformats.org/officeDocument/2006/relationships/hyperlink" Target="https://hub360.com.ng/product/female-female-jumper-wire-set/" TargetMode="External"/><Relationship Id="rId27" Type="http://schemas.openxmlformats.org/officeDocument/2006/relationships/hyperlink" Target="https://hub360.com.ng/product/10k%cf%89-potentiometer/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15" workbookViewId="0">
      <selection activeCell="F36" sqref="F36"/>
    </sheetView>
  </sheetViews>
  <sheetFormatPr defaultRowHeight="15" x14ac:dyDescent="0.25"/>
  <cols>
    <col min="1" max="1" width="60" style="1" customWidth="1"/>
    <col min="2" max="2" width="14.85546875" style="1" customWidth="1"/>
    <col min="3" max="3" width="35.85546875" style="1" customWidth="1"/>
    <col min="4" max="4" width="20" style="1" customWidth="1"/>
    <col min="5" max="5" width="13.28515625" style="1" customWidth="1"/>
    <col min="6" max="6" width="18.85546875" style="1" customWidth="1"/>
    <col min="7" max="16384" width="9.140625" style="1"/>
  </cols>
  <sheetData>
    <row r="1" spans="1:6" x14ac:dyDescent="0.25">
      <c r="A1" s="1" t="s">
        <v>14</v>
      </c>
      <c r="B1" s="1" t="s">
        <v>0</v>
      </c>
      <c r="C1" s="1" t="s">
        <v>2</v>
      </c>
      <c r="D1" s="1" t="s">
        <v>37</v>
      </c>
      <c r="E1" s="1" t="s">
        <v>52</v>
      </c>
      <c r="F1" s="4" t="s">
        <v>53</v>
      </c>
    </row>
    <row r="2" spans="1:6" x14ac:dyDescent="0.25">
      <c r="A2" s="1" t="s">
        <v>17</v>
      </c>
      <c r="B2" s="1">
        <v>2</v>
      </c>
      <c r="C2" s="2" t="s">
        <v>4</v>
      </c>
      <c r="D2" s="1" t="s">
        <v>38</v>
      </c>
      <c r="E2" s="3">
        <v>80</v>
      </c>
      <c r="F2" s="3">
        <f>B2*E2</f>
        <v>160</v>
      </c>
    </row>
    <row r="3" spans="1:6" x14ac:dyDescent="0.25">
      <c r="A3" s="1" t="s">
        <v>18</v>
      </c>
      <c r="B3" s="1">
        <v>1</v>
      </c>
      <c r="C3" s="2" t="s">
        <v>5</v>
      </c>
      <c r="D3" s="1" t="s">
        <v>38</v>
      </c>
      <c r="E3" s="3">
        <v>35</v>
      </c>
      <c r="F3" s="3">
        <f>B3*E3</f>
        <v>35</v>
      </c>
    </row>
    <row r="4" spans="1:6" x14ac:dyDescent="0.25">
      <c r="A4" s="1" t="s">
        <v>6</v>
      </c>
      <c r="B4" s="1">
        <v>2</v>
      </c>
      <c r="C4" s="2" t="s">
        <v>6</v>
      </c>
      <c r="D4" s="1" t="s">
        <v>38</v>
      </c>
      <c r="E4" s="3">
        <v>45</v>
      </c>
      <c r="F4" s="3">
        <f t="shared" ref="F4:F27" si="0">B4*E4</f>
        <v>90</v>
      </c>
    </row>
    <row r="5" spans="1:6" x14ac:dyDescent="0.25">
      <c r="A5" s="1" t="s">
        <v>7</v>
      </c>
      <c r="B5" s="1">
        <v>1</v>
      </c>
      <c r="C5" s="2" t="s">
        <v>7</v>
      </c>
      <c r="D5" s="1" t="s">
        <v>38</v>
      </c>
      <c r="E5" s="3">
        <v>300</v>
      </c>
      <c r="F5" s="3">
        <f t="shared" si="0"/>
        <v>300</v>
      </c>
    </row>
    <row r="6" spans="1:6" x14ac:dyDescent="0.25">
      <c r="A6" s="1" t="s">
        <v>8</v>
      </c>
      <c r="B6" s="1">
        <v>1</v>
      </c>
      <c r="C6" s="2" t="s">
        <v>8</v>
      </c>
      <c r="D6" s="1" t="s">
        <v>38</v>
      </c>
      <c r="E6" s="3">
        <v>300</v>
      </c>
      <c r="F6" s="3">
        <f t="shared" si="0"/>
        <v>300</v>
      </c>
    </row>
    <row r="7" spans="1:6" x14ac:dyDescent="0.25">
      <c r="A7" s="1" t="s">
        <v>9</v>
      </c>
      <c r="B7" s="1">
        <v>2</v>
      </c>
      <c r="C7" s="2" t="s">
        <v>9</v>
      </c>
      <c r="D7" s="1" t="s">
        <v>38</v>
      </c>
      <c r="E7" s="3">
        <v>35</v>
      </c>
      <c r="F7" s="3">
        <f t="shared" si="0"/>
        <v>70</v>
      </c>
    </row>
    <row r="8" spans="1:6" x14ac:dyDescent="0.25">
      <c r="A8" s="1" t="s">
        <v>12</v>
      </c>
      <c r="B8" s="1">
        <v>5</v>
      </c>
      <c r="C8" s="2" t="s">
        <v>10</v>
      </c>
      <c r="D8" s="1" t="s">
        <v>38</v>
      </c>
      <c r="E8" s="3">
        <v>350</v>
      </c>
      <c r="F8" s="3">
        <f t="shared" si="0"/>
        <v>1750</v>
      </c>
    </row>
    <row r="9" spans="1:6" x14ac:dyDescent="0.25">
      <c r="A9" s="1" t="s">
        <v>10</v>
      </c>
      <c r="B9" s="1">
        <v>2</v>
      </c>
      <c r="C9" s="2" t="s">
        <v>12</v>
      </c>
      <c r="D9" s="1" t="s">
        <v>38</v>
      </c>
      <c r="E9" s="3">
        <v>35</v>
      </c>
      <c r="F9" s="3">
        <f t="shared" si="0"/>
        <v>70</v>
      </c>
    </row>
    <row r="10" spans="1:6" x14ac:dyDescent="0.25">
      <c r="A10" s="1" t="s">
        <v>11</v>
      </c>
      <c r="B10" s="1">
        <v>2</v>
      </c>
      <c r="C10" s="2" t="s">
        <v>11</v>
      </c>
      <c r="D10" s="1" t="s">
        <v>38</v>
      </c>
      <c r="E10" s="3">
        <v>35</v>
      </c>
      <c r="F10" s="3">
        <f t="shared" si="0"/>
        <v>70</v>
      </c>
    </row>
    <row r="11" spans="1:6" x14ac:dyDescent="0.25">
      <c r="A11" s="1" t="s">
        <v>13</v>
      </c>
      <c r="B11" s="1">
        <v>2</v>
      </c>
      <c r="C11" s="2" t="s">
        <v>13</v>
      </c>
      <c r="D11" s="1" t="s">
        <v>38</v>
      </c>
      <c r="E11" s="3">
        <v>45</v>
      </c>
      <c r="F11" s="3">
        <f t="shared" si="0"/>
        <v>90</v>
      </c>
    </row>
    <row r="12" spans="1:6" x14ac:dyDescent="0.25">
      <c r="A12" s="1" t="s">
        <v>15</v>
      </c>
      <c r="B12" s="1">
        <v>1</v>
      </c>
      <c r="C12" s="2" t="s">
        <v>15</v>
      </c>
      <c r="D12" s="1" t="s">
        <v>38</v>
      </c>
      <c r="E12" s="3">
        <v>280</v>
      </c>
      <c r="F12" s="3">
        <f t="shared" si="0"/>
        <v>280</v>
      </c>
    </row>
    <row r="13" spans="1:6" x14ac:dyDescent="0.25">
      <c r="A13" s="1" t="s">
        <v>16</v>
      </c>
      <c r="B13" s="1">
        <v>3</v>
      </c>
      <c r="C13" s="2" t="s">
        <v>16</v>
      </c>
      <c r="D13" s="1" t="s">
        <v>38</v>
      </c>
      <c r="E13" s="3">
        <v>80</v>
      </c>
      <c r="F13" s="3">
        <f t="shared" si="0"/>
        <v>240</v>
      </c>
    </row>
    <row r="14" spans="1:6" x14ac:dyDescent="0.25">
      <c r="A14" s="1" t="s">
        <v>19</v>
      </c>
      <c r="B14" s="1">
        <v>1</v>
      </c>
      <c r="C14" s="2" t="s">
        <v>19</v>
      </c>
      <c r="D14" s="1" t="s">
        <v>38</v>
      </c>
      <c r="E14" s="3">
        <v>45</v>
      </c>
      <c r="F14" s="3">
        <f t="shared" si="0"/>
        <v>45</v>
      </c>
    </row>
    <row r="15" spans="1:6" x14ac:dyDescent="0.25">
      <c r="A15" s="1" t="s">
        <v>25</v>
      </c>
      <c r="B15" s="1">
        <v>2</v>
      </c>
      <c r="C15" s="2" t="s">
        <v>20</v>
      </c>
      <c r="D15" s="1" t="s">
        <v>38</v>
      </c>
      <c r="E15" s="3">
        <v>300</v>
      </c>
      <c r="F15" s="3">
        <f t="shared" si="0"/>
        <v>600</v>
      </c>
    </row>
    <row r="16" spans="1:6" x14ac:dyDescent="0.25">
      <c r="A16" s="1" t="s">
        <v>26</v>
      </c>
      <c r="B16" s="1">
        <v>1</v>
      </c>
      <c r="C16" s="2" t="s">
        <v>21</v>
      </c>
      <c r="D16" s="1" t="s">
        <v>38</v>
      </c>
      <c r="E16" s="3">
        <v>6600</v>
      </c>
      <c r="F16" s="3">
        <f t="shared" si="0"/>
        <v>6600</v>
      </c>
    </row>
    <row r="17" spans="1:6" x14ac:dyDescent="0.25">
      <c r="A17" s="1" t="s">
        <v>22</v>
      </c>
      <c r="B17" s="1">
        <v>1</v>
      </c>
      <c r="C17" s="2" t="s">
        <v>27</v>
      </c>
      <c r="D17" s="1" t="s">
        <v>38</v>
      </c>
      <c r="E17" s="3">
        <v>5000</v>
      </c>
      <c r="F17" s="3">
        <f t="shared" si="0"/>
        <v>5000</v>
      </c>
    </row>
    <row r="18" spans="1:6" x14ac:dyDescent="0.25">
      <c r="A18" s="1" t="s">
        <v>34</v>
      </c>
      <c r="B18" s="1">
        <v>1</v>
      </c>
      <c r="C18" s="2" t="s">
        <v>33</v>
      </c>
      <c r="D18" s="1" t="s">
        <v>38</v>
      </c>
      <c r="E18" s="3">
        <v>4600</v>
      </c>
      <c r="F18" s="3">
        <f t="shared" si="0"/>
        <v>4600</v>
      </c>
    </row>
    <row r="19" spans="1:6" x14ac:dyDescent="0.25">
      <c r="A19" s="1" t="s">
        <v>28</v>
      </c>
      <c r="B19" s="1">
        <v>1</v>
      </c>
      <c r="C19" s="2" t="s">
        <v>30</v>
      </c>
      <c r="D19" s="1" t="s">
        <v>38</v>
      </c>
      <c r="E19" s="3">
        <v>3100</v>
      </c>
      <c r="F19" s="3">
        <f t="shared" si="0"/>
        <v>3100</v>
      </c>
    </row>
    <row r="20" spans="1:6" x14ac:dyDescent="0.25">
      <c r="A20" s="1" t="s">
        <v>29</v>
      </c>
      <c r="B20" s="1">
        <v>1</v>
      </c>
      <c r="C20" s="2" t="s">
        <v>31</v>
      </c>
      <c r="D20" s="1" t="s">
        <v>38</v>
      </c>
      <c r="E20" s="3">
        <v>1600</v>
      </c>
      <c r="F20" s="3">
        <f t="shared" si="0"/>
        <v>1600</v>
      </c>
    </row>
    <row r="21" spans="1:6" x14ac:dyDescent="0.25">
      <c r="A21" s="1" t="s">
        <v>23</v>
      </c>
      <c r="B21" s="1">
        <v>1</v>
      </c>
      <c r="C21" s="2" t="s">
        <v>32</v>
      </c>
      <c r="D21" s="1" t="s">
        <v>38</v>
      </c>
      <c r="E21" s="3">
        <v>300</v>
      </c>
      <c r="F21" s="3">
        <f t="shared" si="0"/>
        <v>300</v>
      </c>
    </row>
    <row r="22" spans="1:6" x14ac:dyDescent="0.25">
      <c r="A22" s="1" t="s">
        <v>24</v>
      </c>
      <c r="B22" s="1">
        <v>1</v>
      </c>
      <c r="C22" s="2" t="s">
        <v>1</v>
      </c>
      <c r="D22" s="1" t="s">
        <v>38</v>
      </c>
      <c r="E22" s="3">
        <v>200</v>
      </c>
      <c r="F22" s="3">
        <f t="shared" si="0"/>
        <v>200</v>
      </c>
    </row>
    <row r="23" spans="1:6" x14ac:dyDescent="0.25">
      <c r="A23" s="1" t="s">
        <v>35</v>
      </c>
      <c r="B23" s="1">
        <v>3</v>
      </c>
      <c r="C23" s="2" t="s">
        <v>36</v>
      </c>
      <c r="D23" s="1" t="s">
        <v>38</v>
      </c>
      <c r="E23" s="3">
        <v>70</v>
      </c>
      <c r="F23" s="3">
        <f t="shared" si="0"/>
        <v>210</v>
      </c>
    </row>
    <row r="24" spans="1:6" x14ac:dyDescent="0.25">
      <c r="A24" s="1" t="s">
        <v>43</v>
      </c>
      <c r="B24" s="1" t="s">
        <v>50</v>
      </c>
      <c r="C24" s="2" t="s">
        <v>47</v>
      </c>
      <c r="D24" s="1" t="s">
        <v>38</v>
      </c>
      <c r="E24" s="3">
        <v>1400</v>
      </c>
      <c r="F24" s="3">
        <v>1400</v>
      </c>
    </row>
    <row r="25" spans="1:6" x14ac:dyDescent="0.25">
      <c r="A25" s="1" t="s">
        <v>44</v>
      </c>
      <c r="B25" s="1" t="s">
        <v>50</v>
      </c>
      <c r="C25" s="2" t="s">
        <v>46</v>
      </c>
      <c r="D25" s="1" t="s">
        <v>38</v>
      </c>
      <c r="E25" s="3">
        <v>1400</v>
      </c>
      <c r="F25" s="3">
        <v>1400</v>
      </c>
    </row>
    <row r="26" spans="1:6" x14ac:dyDescent="0.25">
      <c r="A26" s="1" t="s">
        <v>45</v>
      </c>
      <c r="B26" s="1" t="s">
        <v>50</v>
      </c>
      <c r="C26" s="2" t="s">
        <v>48</v>
      </c>
      <c r="D26" s="1" t="s">
        <v>38</v>
      </c>
      <c r="E26" s="3">
        <v>1300</v>
      </c>
      <c r="F26" s="3">
        <v>1300</v>
      </c>
    </row>
    <row r="27" spans="1:6" x14ac:dyDescent="0.25">
      <c r="A27" s="1" t="s">
        <v>40</v>
      </c>
      <c r="B27" s="1">
        <v>5</v>
      </c>
      <c r="C27" s="2" t="s">
        <v>39</v>
      </c>
      <c r="D27" s="1" t="s">
        <v>38</v>
      </c>
      <c r="E27" s="3">
        <v>350</v>
      </c>
      <c r="F27" s="3">
        <f t="shared" si="0"/>
        <v>1750</v>
      </c>
    </row>
    <row r="28" spans="1:6" x14ac:dyDescent="0.25">
      <c r="A28" s="1" t="s">
        <v>41</v>
      </c>
      <c r="B28" s="1">
        <v>10</v>
      </c>
      <c r="C28" s="2" t="s">
        <v>42</v>
      </c>
      <c r="D28" s="1" t="s">
        <v>38</v>
      </c>
      <c r="E28" s="3">
        <v>90</v>
      </c>
      <c r="F28" s="3">
        <f>B28*E28</f>
        <v>900</v>
      </c>
    </row>
    <row r="29" spans="1:6" x14ac:dyDescent="0.25">
      <c r="A29" s="1" t="s">
        <v>49</v>
      </c>
      <c r="B29" s="1">
        <v>1</v>
      </c>
      <c r="C29" s="1" t="s">
        <v>3</v>
      </c>
      <c r="D29" s="1" t="s">
        <v>51</v>
      </c>
      <c r="E29" s="3">
        <v>1500</v>
      </c>
      <c r="F29" s="3">
        <v>1500</v>
      </c>
    </row>
    <row r="30" spans="1:6" x14ac:dyDescent="0.25">
      <c r="A30" s="1" t="s">
        <v>54</v>
      </c>
      <c r="B30" s="1">
        <v>3</v>
      </c>
      <c r="C30" s="2" t="s">
        <v>54</v>
      </c>
      <c r="D30" s="1" t="s">
        <v>38</v>
      </c>
      <c r="E30" s="3">
        <v>45</v>
      </c>
      <c r="F30" s="3">
        <v>135</v>
      </c>
    </row>
    <row r="31" spans="1:6" x14ac:dyDescent="0.25">
      <c r="A31" s="1" t="s">
        <v>55</v>
      </c>
      <c r="B31" s="1">
        <v>2</v>
      </c>
      <c r="C31" s="2" t="s">
        <v>56</v>
      </c>
      <c r="D31" s="1" t="s">
        <v>38</v>
      </c>
      <c r="E31" s="3">
        <v>200</v>
      </c>
      <c r="F31" s="3">
        <v>400</v>
      </c>
    </row>
    <row r="32" spans="1:6" x14ac:dyDescent="0.25">
      <c r="A32" s="1" t="s">
        <v>57</v>
      </c>
      <c r="B32" s="1">
        <v>1</v>
      </c>
      <c r="C32" s="1" t="s">
        <v>3</v>
      </c>
      <c r="D32" s="1" t="s">
        <v>58</v>
      </c>
      <c r="E32" s="3">
        <v>8700</v>
      </c>
      <c r="F32" s="3">
        <v>8700</v>
      </c>
    </row>
    <row r="33" spans="1:6" x14ac:dyDescent="0.25">
      <c r="A33" s="1" t="s">
        <v>59</v>
      </c>
      <c r="B33" s="1" t="s">
        <v>3</v>
      </c>
      <c r="C33" s="1" t="s">
        <v>3</v>
      </c>
      <c r="D33" s="1" t="s">
        <v>51</v>
      </c>
      <c r="E33" s="1" t="s">
        <v>3</v>
      </c>
      <c r="F33" s="3">
        <v>18000</v>
      </c>
    </row>
    <row r="34" spans="1:6" x14ac:dyDescent="0.25">
      <c r="F34" s="3">
        <f>SUM(F2:F33)</f>
        <v>61195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12" r:id="rId7"/>
    <hyperlink ref="C13" r:id="rId8"/>
    <hyperlink ref="C14" r:id="rId9"/>
    <hyperlink ref="C15" r:id="rId10"/>
    <hyperlink ref="C16" r:id="rId11"/>
    <hyperlink ref="C17" r:id="rId12"/>
    <hyperlink ref="C18" r:id="rId13"/>
    <hyperlink ref="C20" r:id="rId14"/>
    <hyperlink ref="C21" r:id="rId15"/>
    <hyperlink ref="C22" r:id="rId16"/>
    <hyperlink ref="C23" r:id="rId17"/>
    <hyperlink ref="C27" r:id="rId18"/>
    <hyperlink ref="C28" r:id="rId19"/>
    <hyperlink ref="C24" r:id="rId20"/>
    <hyperlink ref="C25" r:id="rId21"/>
    <hyperlink ref="C26" r:id="rId22"/>
    <hyperlink ref="C30" r:id="rId23"/>
    <hyperlink ref="C31" r:id="rId24"/>
    <hyperlink ref="C11" r:id="rId25"/>
    <hyperlink ref="C10" r:id="rId26"/>
    <hyperlink ref="C8" r:id="rId27" display="10k Resistor"/>
    <hyperlink ref="C9" r:id="rId28"/>
    <hyperlink ref="C19" r:id="rId29"/>
  </hyperlinks>
  <pageMargins left="0.7" right="0.7" top="0.75" bottom="0.75" header="0.3" footer="0.3"/>
  <pageSetup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OLAOLUWA</dc:creator>
  <cp:lastModifiedBy>HP</cp:lastModifiedBy>
  <dcterms:created xsi:type="dcterms:W3CDTF">2024-10-27T19:05:59Z</dcterms:created>
  <dcterms:modified xsi:type="dcterms:W3CDTF">2024-12-20T10:56:09Z</dcterms:modified>
</cp:coreProperties>
</file>